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runa.garcia\Desktop\"/>
    </mc:Choice>
  </mc:AlternateContent>
  <bookViews>
    <workbookView xWindow="0" yWindow="0" windowWidth="22944" windowHeight="9204" tabRatio="0"/>
  </bookViews>
  <sheets>
    <sheet name="Plan1" sheetId="1" r:id="rId1"/>
    <sheet name="Plan2" sheetId="2" r:id="rId2"/>
  </sheets>
  <definedNames>
    <definedName name="aporte">Plan1!$D$15</definedName>
    <definedName name="patrimonio">Plan1!$D$18</definedName>
    <definedName name="qtde_anos">Plan1!$D$16</definedName>
    <definedName name="rendimento_carteira">Plan1!$D$11</definedName>
    <definedName name="salario">Plan1!$D$10</definedName>
    <definedName name="sugestao_investimento">Plan1!$D$12</definedName>
    <definedName name="taxa_mensal">Plan1!$D$17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4" i="1" l="1"/>
  <c r="C35" i="1"/>
  <c r="C36" i="1"/>
  <c r="C37" i="1"/>
  <c r="C38" i="1"/>
  <c r="C33" i="1"/>
  <c r="A16" i="2"/>
  <c r="A17" i="2"/>
  <c r="A18" i="2"/>
  <c r="A19" i="2"/>
  <c r="A20" i="2"/>
  <c r="A15" i="2"/>
  <c r="A10" i="2"/>
  <c r="A11" i="2"/>
  <c r="A12" i="2"/>
  <c r="A13" i="2"/>
  <c r="A14" i="2"/>
  <c r="A9" i="2"/>
  <c r="A4" i="2"/>
  <c r="A5" i="2"/>
  <c r="A6" i="2"/>
  <c r="A7" i="2"/>
  <c r="A8" i="2"/>
  <c r="A3" i="2"/>
  <c r="C30" i="1"/>
  <c r="C23" i="1"/>
  <c r="D23" i="1" s="1"/>
  <c r="C24" i="1"/>
  <c r="C25" i="1"/>
  <c r="C26" i="1"/>
  <c r="C22" i="1"/>
  <c r="D22" i="1" s="1"/>
  <c r="D18" i="1"/>
  <c r="D19" i="1" s="1"/>
  <c r="D33" i="1" l="1"/>
  <c r="D38" i="1"/>
  <c r="D37" i="1"/>
  <c r="D36" i="1"/>
  <c r="D35" i="1"/>
  <c r="D34" i="1"/>
  <c r="H5" i="2"/>
  <c r="D12" i="1"/>
  <c r="D39" i="1" l="1"/>
  <c r="D24" i="1"/>
  <c r="D25" i="1"/>
  <c r="D26" i="1"/>
</calcChain>
</file>

<file path=xl/sharedStrings.xml><?xml version="1.0" encoding="utf-8"?>
<sst xmlns="http://schemas.openxmlformats.org/spreadsheetml/2006/main" count="71" uniqueCount="34">
  <si>
    <t>Quanto investir por mês?</t>
  </si>
  <si>
    <t>Por Quantos Anos?</t>
  </si>
  <si>
    <t>taxa de Rendimento mensal?</t>
  </si>
  <si>
    <t>Patrimônio acumulado?</t>
  </si>
  <si>
    <t>Dividendos Mensais?</t>
  </si>
  <si>
    <t>INVESTIMENTO MENSAL</t>
  </si>
  <si>
    <t>Quanto em 2 Anos?</t>
  </si>
  <si>
    <t>Quanto em 5 Anos?</t>
  </si>
  <si>
    <t>Quanto em 10 Anos?</t>
  </si>
  <si>
    <t>Quanto em 20 Anos?</t>
  </si>
  <si>
    <t>Quanto em 30 Anos?</t>
  </si>
  <si>
    <t>Rendimento Carteira</t>
  </si>
  <si>
    <t>Salário</t>
  </si>
  <si>
    <t>Sugestão de Investimento</t>
  </si>
  <si>
    <t>CONFIGURAÇÕES</t>
  </si>
  <si>
    <t>CENÁRIOS</t>
  </si>
  <si>
    <t>DIVIDENDOS</t>
  </si>
  <si>
    <t>Conservador</t>
  </si>
  <si>
    <t>Moderado</t>
  </si>
  <si>
    <t>VALOR A SER INVESTIDO POR MÊS</t>
  </si>
  <si>
    <t>PERFIL</t>
  </si>
  <si>
    <t>TIPO DE FII</t>
  </si>
  <si>
    <t>Percentual Sugerido</t>
  </si>
  <si>
    <t>Valores</t>
  </si>
  <si>
    <t>PAPEL</t>
  </si>
  <si>
    <t>TIJOLOS</t>
  </si>
  <si>
    <t>FOFs</t>
  </si>
  <si>
    <t>DESENVOLVIMENTO</t>
  </si>
  <si>
    <t>HOTELARIAS</t>
  </si>
  <si>
    <t>HÍBRIDOS</t>
  </si>
  <si>
    <t>%</t>
  </si>
  <si>
    <t>CHAVE</t>
  </si>
  <si>
    <t>Agressivo</t>
  </si>
  <si>
    <t>Moderado-TIJOLOS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</si>
</sst>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0"/>
      <name val="Times New Roman"/>
      <family val="1"/>
    </font>
    <font>
      <sz val="11"/>
      <color theme="1"/>
      <name val="Calibri"/>
      <family val="2"/>
      <scheme val="minor"/>
    </font>
    <font>
      <b/>
      <sz val="14"/>
      <color theme="0"/>
      <name val="Times New Roman"/>
      <family val="1"/>
    </font>
    <font>
      <sz val="11"/>
      <color rgb="FF9C6500"/>
      <name val="Calibri"/>
      <family val="2"/>
      <scheme val="minor"/>
    </font>
    <font>
      <b/>
      <sz val="14"/>
      <color theme="0"/>
      <name val="Segoe UI Semibold"/>
      <family val="2"/>
    </font>
    <font>
      <b/>
      <sz val="12"/>
      <color theme="0"/>
      <name val="Segoe UI Semibold"/>
      <family val="2"/>
    </font>
    <font>
      <sz val="12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2"/>
      <color theme="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3">
    <border>
      <left/>
      <right/>
      <top/>
      <bottom/>
      <diagonal/>
    </border>
    <border>
      <left style="thick">
        <color theme="8" tint="-0.499984740745262"/>
      </left>
      <right/>
      <top style="thick">
        <color theme="8" tint="-0.499984740745262"/>
      </top>
      <bottom/>
      <diagonal/>
    </border>
    <border>
      <left/>
      <right style="thick">
        <color theme="8" tint="-0.499984740745262"/>
      </right>
      <top style="thick">
        <color theme="8" tint="-0.499984740745262"/>
      </top>
      <bottom/>
      <diagonal/>
    </border>
    <border>
      <left/>
      <right/>
      <top style="thick">
        <color theme="8" tint="-0.499984740745262"/>
      </top>
      <bottom/>
      <diagonal/>
    </border>
    <border>
      <left style="thick">
        <color theme="8" tint="-0.499984740745262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thick">
        <color theme="8" tint="-0.499984740745262"/>
      </right>
      <top/>
      <bottom style="medium">
        <color theme="0"/>
      </bottom>
      <diagonal/>
    </border>
    <border>
      <left style="thick">
        <color theme="8" tint="-0.499984740745262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thick">
        <color theme="8" tint="-0.499984740745262"/>
      </right>
      <top style="medium">
        <color theme="0"/>
      </top>
      <bottom style="medium">
        <color theme="0"/>
      </bottom>
      <diagonal/>
    </border>
    <border>
      <left style="thick">
        <color theme="8" tint="-0.499984740745262"/>
      </left>
      <right style="medium">
        <color theme="0"/>
      </right>
      <top style="medium">
        <color theme="0"/>
      </top>
      <bottom style="thick">
        <color theme="8" tint="-0.499984740745262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thick">
        <color theme="8" tint="-0.499984740745262"/>
      </bottom>
      <diagonal/>
    </border>
    <border>
      <left style="medium">
        <color theme="0"/>
      </left>
      <right style="thick">
        <color theme="8" tint="-0.499984740745262"/>
      </right>
      <top style="medium">
        <color theme="0"/>
      </top>
      <bottom style="thick">
        <color theme="8" tint="-0.499984740745262"/>
      </bottom>
      <diagonal/>
    </border>
    <border>
      <left style="thick">
        <color theme="8" tint="-0.499984740745262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ck">
        <color theme="8" tint="-0.499984740745262"/>
      </right>
      <top/>
      <bottom style="thin">
        <color theme="0" tint="-0.14996795556505021"/>
      </bottom>
      <diagonal/>
    </border>
    <border>
      <left style="thick">
        <color theme="8" tint="-0.499984740745262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ck">
        <color theme="8" tint="-0.499984740745262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theme="8" tint="-0.499984740745262"/>
      </left>
      <right style="thin">
        <color theme="0" tint="-0.14996795556505021"/>
      </right>
      <top style="thin">
        <color theme="0" tint="-0.14996795556505021"/>
      </top>
      <bottom style="thick">
        <color theme="8" tint="-0.49998474074526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ck">
        <color theme="8" tint="-0.499984740745262"/>
      </bottom>
      <diagonal/>
    </border>
    <border>
      <left style="thin">
        <color theme="0" tint="-0.14996795556505021"/>
      </left>
      <right style="thick">
        <color theme="8" tint="-0.499984740745262"/>
      </right>
      <top style="thin">
        <color theme="0" tint="-0.14996795556505021"/>
      </top>
      <bottom style="thick">
        <color theme="8" tint="-0.499984740745262"/>
      </bottom>
      <diagonal/>
    </border>
    <border>
      <left/>
      <right/>
      <top/>
      <bottom style="double">
        <color indexed="64"/>
      </bottom>
      <diagonal/>
    </border>
  </borders>
  <cellStyleXfs count="4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5" fillId="4" borderId="0" applyNumberFormat="0" applyBorder="0" applyAlignment="0" applyProtection="0"/>
  </cellStyleXfs>
  <cellXfs count="6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4" fillId="3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8" fillId="5" borderId="13" xfId="0" applyFont="1" applyFill="1" applyBorder="1" applyAlignment="1">
      <alignment horizontal="left" indent="3"/>
    </xf>
    <xf numFmtId="0" fontId="8" fillId="5" borderId="14" xfId="0" applyFont="1" applyFill="1" applyBorder="1" applyAlignment="1">
      <alignment horizontal="left" indent="3"/>
    </xf>
    <xf numFmtId="164" fontId="9" fillId="0" borderId="15" xfId="1" applyNumberFormat="1" applyFont="1" applyBorder="1" applyAlignment="1">
      <alignment horizontal="center"/>
    </xf>
    <xf numFmtId="0" fontId="8" fillId="5" borderId="16" xfId="0" applyFont="1" applyFill="1" applyBorder="1" applyAlignment="1">
      <alignment horizontal="left" indent="3"/>
    </xf>
    <xf numFmtId="0" fontId="8" fillId="5" borderId="17" xfId="0" applyFont="1" applyFill="1" applyBorder="1" applyAlignment="1">
      <alignment horizontal="left" indent="3"/>
    </xf>
    <xf numFmtId="10" fontId="9" fillId="0" borderId="18" xfId="2" applyNumberFormat="1" applyFont="1" applyBorder="1" applyAlignment="1">
      <alignment horizontal="center"/>
    </xf>
    <xf numFmtId="0" fontId="8" fillId="5" borderId="19" xfId="0" applyFont="1" applyFill="1" applyBorder="1" applyAlignment="1">
      <alignment horizontal="left" indent="3"/>
    </xf>
    <xf numFmtId="0" fontId="8" fillId="5" borderId="20" xfId="0" applyFont="1" applyFill="1" applyBorder="1" applyAlignment="1">
      <alignment horizontal="left" indent="3"/>
    </xf>
    <xf numFmtId="164" fontId="9" fillId="0" borderId="21" xfId="0" applyNumberFormat="1" applyFont="1" applyBorder="1" applyAlignment="1">
      <alignment horizontal="center"/>
    </xf>
    <xf numFmtId="0" fontId="8" fillId="0" borderId="13" xfId="0" applyFont="1" applyBorder="1" applyAlignment="1">
      <alignment horizontal="left" indent="3"/>
    </xf>
    <xf numFmtId="0" fontId="8" fillId="0" borderId="14" xfId="0" applyFont="1" applyBorder="1" applyAlignment="1">
      <alignment horizontal="left" indent="3"/>
    </xf>
    <xf numFmtId="164" fontId="10" fillId="0" borderId="15" xfId="0" applyNumberFormat="1" applyFont="1" applyBorder="1" applyAlignment="1">
      <alignment horizontal="center" vertical="center"/>
    </xf>
    <xf numFmtId="0" fontId="8" fillId="0" borderId="16" xfId="0" applyFont="1" applyBorder="1" applyAlignment="1">
      <alignment horizontal="left" indent="3"/>
    </xf>
    <xf numFmtId="0" fontId="8" fillId="0" borderId="17" xfId="0" applyFont="1" applyBorder="1" applyAlignment="1">
      <alignment horizontal="left" indent="3"/>
    </xf>
    <xf numFmtId="0" fontId="10" fillId="0" borderId="18" xfId="0" applyNumberFormat="1" applyFont="1" applyBorder="1" applyAlignment="1">
      <alignment horizontal="center"/>
    </xf>
    <xf numFmtId="10" fontId="10" fillId="0" borderId="18" xfId="0" applyNumberFormat="1" applyFont="1" applyBorder="1" applyAlignment="1">
      <alignment horizontal="center" vertical="center"/>
    </xf>
    <xf numFmtId="0" fontId="11" fillId="5" borderId="16" xfId="0" applyFont="1" applyFill="1" applyBorder="1" applyAlignment="1">
      <alignment horizontal="left" indent="3"/>
    </xf>
    <xf numFmtId="0" fontId="11" fillId="5" borderId="17" xfId="0" applyFont="1" applyFill="1" applyBorder="1" applyAlignment="1">
      <alignment horizontal="left" indent="3"/>
    </xf>
    <xf numFmtId="8" fontId="10" fillId="5" borderId="18" xfId="0" applyNumberFormat="1" applyFont="1" applyFill="1" applyBorder="1" applyAlignment="1">
      <alignment horizontal="center" vertical="center"/>
    </xf>
    <xf numFmtId="0" fontId="11" fillId="5" borderId="19" xfId="0" applyFont="1" applyFill="1" applyBorder="1" applyAlignment="1">
      <alignment horizontal="left" indent="3"/>
    </xf>
    <xf numFmtId="0" fontId="11" fillId="5" borderId="20" xfId="0" applyFont="1" applyFill="1" applyBorder="1" applyAlignment="1">
      <alignment horizontal="left" indent="3"/>
    </xf>
    <xf numFmtId="8" fontId="10" fillId="5" borderId="21" xfId="0" applyNumberFormat="1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left" indent="3"/>
    </xf>
    <xf numFmtId="8" fontId="9" fillId="5" borderId="5" xfId="0" applyNumberFormat="1" applyFont="1" applyFill="1" applyBorder="1" applyAlignment="1">
      <alignment horizontal="center"/>
    </xf>
    <xf numFmtId="8" fontId="9" fillId="5" borderId="6" xfId="0" applyNumberFormat="1" applyFont="1" applyFill="1" applyBorder="1" applyAlignment="1">
      <alignment horizontal="center"/>
    </xf>
    <xf numFmtId="0" fontId="8" fillId="5" borderId="7" xfId="0" applyFont="1" applyFill="1" applyBorder="1" applyAlignment="1">
      <alignment horizontal="left" indent="3"/>
    </xf>
    <xf numFmtId="8" fontId="9" fillId="5" borderId="8" xfId="0" applyNumberFormat="1" applyFont="1" applyFill="1" applyBorder="1" applyAlignment="1">
      <alignment horizontal="center"/>
    </xf>
    <xf numFmtId="8" fontId="9" fillId="5" borderId="9" xfId="0" applyNumberFormat="1" applyFont="1" applyFill="1" applyBorder="1" applyAlignment="1">
      <alignment horizontal="center"/>
    </xf>
    <xf numFmtId="0" fontId="8" fillId="5" borderId="10" xfId="0" applyFont="1" applyFill="1" applyBorder="1" applyAlignment="1">
      <alignment horizontal="left" indent="3"/>
    </xf>
    <xf numFmtId="8" fontId="9" fillId="5" borderId="11" xfId="0" applyNumberFormat="1" applyFont="1" applyFill="1" applyBorder="1" applyAlignment="1">
      <alignment horizontal="center"/>
    </xf>
    <xf numFmtId="8" fontId="9" fillId="5" borderId="12" xfId="0" applyNumberFormat="1" applyFont="1" applyFill="1" applyBorder="1" applyAlignment="1">
      <alignment horizontal="center"/>
    </xf>
    <xf numFmtId="8" fontId="9" fillId="5" borderId="0" xfId="0" applyNumberFormat="1" applyFont="1" applyFill="1" applyBorder="1" applyAlignment="1">
      <alignment horizontal="center"/>
    </xf>
    <xf numFmtId="0" fontId="8" fillId="6" borderId="0" xfId="0" applyFont="1" applyFill="1" applyBorder="1" applyAlignment="1">
      <alignment horizontal="left" indent="3"/>
    </xf>
    <xf numFmtId="8" fontId="9" fillId="6" borderId="0" xfId="0" applyNumberFormat="1" applyFont="1" applyFill="1" applyBorder="1" applyAlignment="1">
      <alignment horizontal="center"/>
    </xf>
    <xf numFmtId="0" fontId="5" fillId="4" borderId="0" xfId="3" applyBorder="1" applyAlignment="1">
      <alignment horizontal="left" indent="3"/>
    </xf>
    <xf numFmtId="8" fontId="5" fillId="4" borderId="0" xfId="3" applyNumberFormat="1" applyBorder="1" applyAlignment="1">
      <alignment horizontal="center"/>
    </xf>
    <xf numFmtId="0" fontId="11" fillId="5" borderId="0" xfId="0" applyFont="1" applyFill="1" applyBorder="1" applyAlignment="1">
      <alignment horizontal="left" indent="3"/>
    </xf>
    <xf numFmtId="8" fontId="10" fillId="5" borderId="0" xfId="0" applyNumberFormat="1" applyFont="1" applyFill="1" applyBorder="1" applyAlignment="1">
      <alignment horizontal="center" vertical="center"/>
    </xf>
    <xf numFmtId="8" fontId="10" fillId="5" borderId="0" xfId="0" applyNumberFormat="1" applyFont="1" applyFill="1" applyBorder="1" applyAlignment="1">
      <alignment horizontal="center"/>
    </xf>
    <xf numFmtId="0" fontId="8" fillId="6" borderId="0" xfId="0" applyFont="1" applyFill="1" applyBorder="1" applyAlignment="1">
      <alignment horizontal="center"/>
    </xf>
    <xf numFmtId="9" fontId="9" fillId="6" borderId="0" xfId="0" applyNumberFormat="1" applyFont="1" applyFill="1" applyBorder="1" applyAlignment="1">
      <alignment horizontal="center"/>
    </xf>
    <xf numFmtId="0" fontId="11" fillId="7" borderId="0" xfId="0" applyFont="1" applyFill="1" applyBorder="1" applyAlignment="1">
      <alignment horizontal="center"/>
    </xf>
    <xf numFmtId="8" fontId="10" fillId="7" borderId="0" xfId="0" applyNumberFormat="1" applyFont="1" applyFill="1" applyBorder="1" applyAlignment="1">
      <alignment horizontal="center"/>
    </xf>
    <xf numFmtId="0" fontId="8" fillId="7" borderId="0" xfId="0" applyFont="1" applyFill="1" applyBorder="1" applyAlignment="1">
      <alignment horizontal="center"/>
    </xf>
    <xf numFmtId="8" fontId="9" fillId="7" borderId="0" xfId="0" applyNumberFormat="1" applyFont="1" applyFill="1" applyBorder="1" applyAlignment="1">
      <alignment horizontal="center"/>
    </xf>
    <xf numFmtId="0" fontId="0" fillId="0" borderId="0" xfId="0" applyBorder="1"/>
    <xf numFmtId="9" fontId="0" fillId="0" borderId="0" xfId="0" applyNumberFormat="1" applyAlignment="1">
      <alignment horizontal="center"/>
    </xf>
    <xf numFmtId="9" fontId="0" fillId="0" borderId="22" xfId="0" applyNumberFormat="1" applyBorder="1" applyAlignment="1">
      <alignment horizontal="center"/>
    </xf>
    <xf numFmtId="9" fontId="0" fillId="0" borderId="0" xfId="0" applyNumberFormat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Border="1" applyAlignment="1">
      <alignment horizontal="center"/>
    </xf>
    <xf numFmtId="0" fontId="5" fillId="4" borderId="0" xfId="3"/>
    <xf numFmtId="9" fontId="5" fillId="4" borderId="0" xfId="3" applyNumberFormat="1"/>
  </cellXfs>
  <cellStyles count="4">
    <cellStyle name="Moeda" xfId="1" builtinId="4"/>
    <cellStyle name="Neutra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Plan1!$C$32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</c:dLbl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Plan1!$B$33:$B$38</c:f>
              <c:strCache>
                <c:ptCount val="6"/>
                <c:pt idx="0">
                  <c:v>PAPEL</c:v>
                </c:pt>
                <c:pt idx="1">
                  <c:v>TIJOLOS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Plan1!$C$33:$C$38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</c:ser>
        <c:ser>
          <c:idx val="1"/>
          <c:order val="1"/>
          <c:tx>
            <c:strRef>
              <c:f>Plan1!$D$32</c:f>
              <c:strCache>
                <c:ptCount val="1"/>
                <c:pt idx="0">
                  <c:v>Valores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</c:dLbl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Plan1!$B$33:$B$38</c:f>
              <c:strCache>
                <c:ptCount val="6"/>
                <c:pt idx="0">
                  <c:v>PAPEL</c:v>
                </c:pt>
                <c:pt idx="1">
                  <c:v>TIJOLOS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Plan1!$D$33:$D$38</c:f>
              <c:numCache>
                <c:formatCode>"R$"#,##0.00_);[Red]\("R$"#,##0.00\)</c:formatCode>
                <c:ptCount val="6"/>
                <c:pt idx="0">
                  <c:v>384</c:v>
                </c:pt>
                <c:pt idx="1">
                  <c:v>420</c:v>
                </c:pt>
                <c:pt idx="2">
                  <c:v>96</c:v>
                </c:pt>
                <c:pt idx="3">
                  <c:v>60</c:v>
                </c:pt>
                <c:pt idx="4">
                  <c:v>120</c:v>
                </c:pt>
                <c:pt idx="5">
                  <c:v>120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236220</xdr:colOff>
      <xdr:row>0</xdr:row>
      <xdr:rowOff>0</xdr:rowOff>
    </xdr:from>
    <xdr:to>
      <xdr:col>4</xdr:col>
      <xdr:colOff>231866</xdr:colOff>
      <xdr:row>7</xdr:row>
      <xdr:rowOff>137160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" r="-251" b="-1128"/>
        <a:stretch/>
      </xdr:blipFill>
      <xdr:spPr>
        <a:xfrm>
          <a:off x="236220" y="0"/>
          <a:ext cx="6884126" cy="1417320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>
    <xdr:from>
      <xdr:col>1</xdr:col>
      <xdr:colOff>1300370</xdr:colOff>
      <xdr:row>39</xdr:row>
      <xdr:rowOff>81169</xdr:rowOff>
    </xdr:from>
    <xdr:to>
      <xdr:col>3</xdr:col>
      <xdr:colOff>231914</xdr:colOff>
      <xdr:row>59</xdr:row>
      <xdr:rowOff>0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"/>
  <sheetViews>
    <sheetView showGridLines="0" showRowColHeaders="0" tabSelected="1" zoomScale="92" zoomScaleNormal="92" workbookViewId="0">
      <selection activeCell="D54" sqref="D54"/>
    </sheetView>
  </sheetViews>
  <sheetFormatPr defaultColWidth="0" defaultRowHeight="14.4" zeroHeight="1" x14ac:dyDescent="0.3"/>
  <cols>
    <col min="1" max="1" width="4.88671875" customWidth="1"/>
    <col min="2" max="2" width="42" customWidth="1"/>
    <col min="3" max="3" width="36.21875" customWidth="1"/>
    <col min="4" max="4" width="17.33203125" customWidth="1"/>
    <col min="5" max="5" width="4.44140625" customWidth="1"/>
    <col min="6" max="6" width="4.88671875" customWidth="1"/>
    <col min="7" max="7" width="5.44140625" customWidth="1"/>
    <col min="8" max="16384" width="8.88671875" hidden="1"/>
  </cols>
  <sheetData>
    <row r="1" spans="2:4" x14ac:dyDescent="0.3"/>
    <row r="2" spans="2:4" x14ac:dyDescent="0.3"/>
    <row r="3" spans="2:4" x14ac:dyDescent="0.3"/>
    <row r="4" spans="2:4" x14ac:dyDescent="0.3"/>
    <row r="5" spans="2:4" x14ac:dyDescent="0.3"/>
    <row r="6" spans="2:4" x14ac:dyDescent="0.3"/>
    <row r="7" spans="2:4" x14ac:dyDescent="0.3"/>
    <row r="8" spans="2:4" ht="32.4" customHeight="1" thickBot="1" x14ac:dyDescent="0.35"/>
    <row r="9" spans="2:4" ht="21" thickTop="1" x14ac:dyDescent="0.3">
      <c r="B9" s="5" t="s">
        <v>14</v>
      </c>
      <c r="C9" s="6"/>
      <c r="D9" s="3"/>
    </row>
    <row r="10" spans="2:4" ht="19.2" x14ac:dyDescent="0.45">
      <c r="B10" s="12" t="s">
        <v>12</v>
      </c>
      <c r="C10" s="13"/>
      <c r="D10" s="14">
        <v>4000</v>
      </c>
    </row>
    <row r="11" spans="2:4" ht="19.2" x14ac:dyDescent="0.45">
      <c r="B11" s="15" t="s">
        <v>11</v>
      </c>
      <c r="C11" s="16"/>
      <c r="D11" s="17">
        <v>8.9999999999999993E-3</v>
      </c>
    </row>
    <row r="12" spans="2:4" ht="19.8" thickBot="1" x14ac:dyDescent="0.5">
      <c r="B12" s="18" t="s">
        <v>13</v>
      </c>
      <c r="C12" s="19"/>
      <c r="D12" s="20">
        <f>D10*30%</f>
        <v>1200</v>
      </c>
    </row>
    <row r="13" spans="2:4" ht="15.6" thickTop="1" thickBot="1" x14ac:dyDescent="0.35"/>
    <row r="14" spans="2:4" ht="36" customHeight="1" thickTop="1" x14ac:dyDescent="0.3">
      <c r="B14" s="7" t="s">
        <v>5</v>
      </c>
      <c r="C14" s="8"/>
      <c r="D14" s="4"/>
    </row>
    <row r="15" spans="2:4" ht="16.2" customHeight="1" x14ac:dyDescent="0.45">
      <c r="B15" s="21" t="s">
        <v>0</v>
      </c>
      <c r="C15" s="22"/>
      <c r="D15" s="23">
        <v>1200</v>
      </c>
    </row>
    <row r="16" spans="2:4" ht="15" customHeight="1" x14ac:dyDescent="0.45">
      <c r="B16" s="24" t="s">
        <v>1</v>
      </c>
      <c r="C16" s="25"/>
      <c r="D16" s="26">
        <v>10</v>
      </c>
    </row>
    <row r="17" spans="1:4" ht="15" customHeight="1" x14ac:dyDescent="0.45">
      <c r="B17" s="24" t="s">
        <v>2</v>
      </c>
      <c r="C17" s="25"/>
      <c r="D17" s="27">
        <v>1.0789999999999999E-2</v>
      </c>
    </row>
    <row r="18" spans="1:4" ht="15" customHeight="1" x14ac:dyDescent="0.45">
      <c r="B18" s="28" t="s">
        <v>3</v>
      </c>
      <c r="C18" s="29"/>
      <c r="D18" s="30">
        <f>FV(taxa_mensal,qtde_anos*12,aporte*-1)</f>
        <v>291941.05503620661</v>
      </c>
    </row>
    <row r="19" spans="1:4" ht="15" customHeight="1" thickBot="1" x14ac:dyDescent="0.5">
      <c r="B19" s="31" t="s">
        <v>4</v>
      </c>
      <c r="C19" s="32"/>
      <c r="D19" s="33">
        <f>patrimonio*rendimento_carteira</f>
        <v>2627.4694953258595</v>
      </c>
    </row>
    <row r="20" spans="1:4" ht="15.6" thickTop="1" thickBot="1" x14ac:dyDescent="0.35"/>
    <row r="21" spans="1:4" ht="18.600000000000001" customHeight="1" thickTop="1" x14ac:dyDescent="0.3">
      <c r="B21" s="9" t="s">
        <v>15</v>
      </c>
      <c r="C21" s="10"/>
      <c r="D21" s="11" t="s">
        <v>16</v>
      </c>
    </row>
    <row r="22" spans="1:4" ht="19.8" thickBot="1" x14ac:dyDescent="0.5">
      <c r="A22" s="1">
        <v>2</v>
      </c>
      <c r="B22" s="34" t="s">
        <v>6</v>
      </c>
      <c r="C22" s="35">
        <f>FV(taxa_mensal,$A22*12,aporte*-1)</f>
        <v>32673.152757174259</v>
      </c>
      <c r="D22" s="36">
        <f>C22*rendimento_carteira</f>
        <v>294.05837481456831</v>
      </c>
    </row>
    <row r="23" spans="1:4" ht="19.8" thickBot="1" x14ac:dyDescent="0.5">
      <c r="A23" s="1">
        <v>5</v>
      </c>
      <c r="B23" s="37" t="s">
        <v>7</v>
      </c>
      <c r="C23" s="38">
        <f>FV(taxa_mensal,$A23*12,aporte*-1)</f>
        <v>100532.29679818517</v>
      </c>
      <c r="D23" s="39">
        <f>C23*rendimento_carteira</f>
        <v>904.7906711836664</v>
      </c>
    </row>
    <row r="24" spans="1:4" ht="19.8" thickBot="1" x14ac:dyDescent="0.5">
      <c r="A24" s="1">
        <v>10</v>
      </c>
      <c r="B24" s="37" t="s">
        <v>8</v>
      </c>
      <c r="C24" s="38">
        <f>FV(taxa_mensal,$A24*12,aporte*-1)</f>
        <v>291941.05503620661</v>
      </c>
      <c r="D24" s="39">
        <f>C24*rendimento_carteira</f>
        <v>2627.4694953258595</v>
      </c>
    </row>
    <row r="25" spans="1:4" ht="19.8" thickBot="1" x14ac:dyDescent="0.5">
      <c r="A25" s="1">
        <v>20</v>
      </c>
      <c r="B25" s="37" t="s">
        <v>9</v>
      </c>
      <c r="C25" s="38">
        <f>FV(taxa_mensal,$A25*12,aporte*-1)</f>
        <v>1350238.0801164967</v>
      </c>
      <c r="D25" s="39">
        <f>C25*rendimento_carteira</f>
        <v>12152.142721048469</v>
      </c>
    </row>
    <row r="26" spans="1:4" ht="19.8" thickBot="1" x14ac:dyDescent="0.5">
      <c r="A26" s="1">
        <v>30</v>
      </c>
      <c r="B26" s="40" t="s">
        <v>10</v>
      </c>
      <c r="C26" s="41">
        <f>FV(taxa_mensal,$A26*12,aporte*-1)</f>
        <v>5186603.586005657</v>
      </c>
      <c r="D26" s="42">
        <f>C26*rendimento_carteira</f>
        <v>46679.432274050909</v>
      </c>
    </row>
    <row r="27" spans="1:4" ht="19.8" thickTop="1" x14ac:dyDescent="0.45">
      <c r="A27" s="1"/>
      <c r="B27" s="44"/>
      <c r="C27" s="45"/>
      <c r="D27" s="45"/>
    </row>
    <row r="28" spans="1:4" ht="19.2" x14ac:dyDescent="0.45">
      <c r="A28" s="1"/>
      <c r="B28" s="44"/>
      <c r="C28" s="45"/>
      <c r="D28" s="45"/>
    </row>
    <row r="29" spans="1:4" x14ac:dyDescent="0.3">
      <c r="A29" s="1"/>
      <c r="B29" s="46" t="s">
        <v>20</v>
      </c>
      <c r="C29" s="47" t="s">
        <v>18</v>
      </c>
      <c r="D29" s="47"/>
    </row>
    <row r="30" spans="1:4" ht="19.2" x14ac:dyDescent="0.45">
      <c r="A30" s="1"/>
      <c r="B30" s="48" t="s">
        <v>19</v>
      </c>
      <c r="C30" s="49">
        <f>aporte</f>
        <v>1200</v>
      </c>
      <c r="D30" s="50"/>
    </row>
    <row r="31" spans="1:4" ht="19.2" x14ac:dyDescent="0.45">
      <c r="A31" s="1"/>
      <c r="B31" s="44"/>
      <c r="C31" s="45"/>
      <c r="D31" s="45"/>
    </row>
    <row r="32" spans="1:4" ht="19.2" x14ac:dyDescent="0.45">
      <c r="A32" s="1"/>
      <c r="B32" s="53" t="s">
        <v>21</v>
      </c>
      <c r="C32" s="54" t="s">
        <v>22</v>
      </c>
      <c r="D32" s="54" t="s">
        <v>23</v>
      </c>
    </row>
    <row r="33" spans="1:4" ht="19.2" x14ac:dyDescent="0.45">
      <c r="A33" s="1"/>
      <c r="B33" s="51" t="s">
        <v>24</v>
      </c>
      <c r="C33" s="52">
        <f>VLOOKUP($C$29&amp;"-"&amp;B33,Plan2!$A$2:$D$20,4,FALSE)</f>
        <v>0.32</v>
      </c>
      <c r="D33" s="43">
        <f>C33*$C$30</f>
        <v>384</v>
      </c>
    </row>
    <row r="34" spans="1:4" ht="19.2" x14ac:dyDescent="0.45">
      <c r="A34" s="1"/>
      <c r="B34" s="51" t="s">
        <v>25</v>
      </c>
      <c r="C34" s="52">
        <f>VLOOKUP($C$29&amp;"-"&amp;B34,Plan2!$A$2:$D$20,4,FALSE)</f>
        <v>0.35</v>
      </c>
      <c r="D34" s="43">
        <f t="shared" ref="D34:D38" si="0">C34*$C$30</f>
        <v>420</v>
      </c>
    </row>
    <row r="35" spans="1:4" ht="19.2" x14ac:dyDescent="0.45">
      <c r="A35" s="1"/>
      <c r="B35" s="51" t="s">
        <v>29</v>
      </c>
      <c r="C35" s="52">
        <f>VLOOKUP($C$29&amp;"-"&amp;B35,Plan2!$A$2:$D$20,4,FALSE)</f>
        <v>0.08</v>
      </c>
      <c r="D35" s="43">
        <f t="shared" si="0"/>
        <v>96</v>
      </c>
    </row>
    <row r="36" spans="1:4" ht="19.2" x14ac:dyDescent="0.45">
      <c r="A36" s="1"/>
      <c r="B36" s="51" t="s">
        <v>26</v>
      </c>
      <c r="C36" s="52">
        <f>VLOOKUP($C$29&amp;"-"&amp;B36,Plan2!$A$2:$D$20,4,FALSE)</f>
        <v>0.05</v>
      </c>
      <c r="D36" s="43">
        <f t="shared" si="0"/>
        <v>60</v>
      </c>
    </row>
    <row r="37" spans="1:4" ht="19.2" x14ac:dyDescent="0.45">
      <c r="A37" s="1"/>
      <c r="B37" s="51" t="s">
        <v>27</v>
      </c>
      <c r="C37" s="52">
        <f>VLOOKUP($C$29&amp;"-"&amp;B37,Plan2!$A$2:$D$20,4,FALSE)</f>
        <v>0.1</v>
      </c>
      <c r="D37" s="43">
        <f t="shared" si="0"/>
        <v>120</v>
      </c>
    </row>
    <row r="38" spans="1:4" ht="19.2" x14ac:dyDescent="0.45">
      <c r="A38" s="1"/>
      <c r="B38" s="51" t="s">
        <v>28</v>
      </c>
      <c r="C38" s="52">
        <f>VLOOKUP($C$29&amp;"-"&amp;B38,Plan2!$A$2:$D$20,4,FALSE)</f>
        <v>0.1</v>
      </c>
      <c r="D38" s="43">
        <f t="shared" si="0"/>
        <v>120</v>
      </c>
    </row>
    <row r="39" spans="1:4" ht="19.2" x14ac:dyDescent="0.45">
      <c r="A39" s="1"/>
      <c r="B39" s="55"/>
      <c r="C39" s="56"/>
      <c r="D39" s="56">
        <f>SUM(D33:D38)</f>
        <v>1200</v>
      </c>
    </row>
    <row r="40" spans="1:4" ht="19.2" customHeight="1" x14ac:dyDescent="0.3"/>
    <row r="41" spans="1:4" hidden="1" x14ac:dyDescent="0.3"/>
    <row r="42" spans="1:4" hidden="1" x14ac:dyDescent="0.3"/>
    <row r="43" spans="1:4" hidden="1" x14ac:dyDescent="0.3"/>
    <row r="44" spans="1:4" hidden="1" x14ac:dyDescent="0.3"/>
    <row r="45" spans="1:4" hidden="1" x14ac:dyDescent="0.3"/>
    <row r="46" spans="1:4" x14ac:dyDescent="0.3"/>
    <row r="47" spans="1:4" x14ac:dyDescent="0.3"/>
    <row r="48" spans="1:4" x14ac:dyDescent="0.3"/>
    <row r="49" x14ac:dyDescent="0.3"/>
    <row r="50" x14ac:dyDescent="0.3"/>
    <row r="51" x14ac:dyDescent="0.3"/>
    <row r="52" x14ac:dyDescent="0.3"/>
    <row r="53" x14ac:dyDescent="0.3"/>
    <row r="54" x14ac:dyDescent="0.3"/>
    <row r="55" x14ac:dyDescent="0.3"/>
    <row r="56" x14ac:dyDescent="0.3"/>
    <row r="57" x14ac:dyDescent="0.3"/>
    <row r="58" x14ac:dyDescent="0.3"/>
    <row r="59" x14ac:dyDescent="0.3"/>
  </sheetData>
  <mergeCells count="11">
    <mergeCell ref="B10:C10"/>
    <mergeCell ref="B11:C11"/>
    <mergeCell ref="B12:C12"/>
    <mergeCell ref="B9:C9"/>
    <mergeCell ref="B14:C14"/>
    <mergeCell ref="B21:C21"/>
    <mergeCell ref="B15:C15"/>
    <mergeCell ref="B16:C16"/>
    <mergeCell ref="B17:C17"/>
    <mergeCell ref="B18:C18"/>
    <mergeCell ref="B19:C19"/>
  </mergeCells>
  <dataValidations count="1">
    <dataValidation type="list" allowBlank="1" showInputMessage="1" showErrorMessage="1" sqref="C29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0"/>
  <sheetViews>
    <sheetView workbookViewId="0">
      <selection activeCell="D13" sqref="D13"/>
    </sheetView>
  </sheetViews>
  <sheetFormatPr defaultRowHeight="14.4" x14ac:dyDescent="0.3"/>
  <cols>
    <col min="1" max="1" width="32.77734375" customWidth="1"/>
    <col min="2" max="2" width="15.109375" customWidth="1"/>
    <col min="3" max="3" width="17.21875" customWidth="1"/>
    <col min="7" max="7" width="20.44140625" customWidth="1"/>
    <col min="8" max="8" width="37.5546875" customWidth="1"/>
  </cols>
  <sheetData>
    <row r="2" spans="1:8" x14ac:dyDescent="0.3">
      <c r="A2" s="2" t="s">
        <v>31</v>
      </c>
      <c r="B2" s="2" t="s">
        <v>20</v>
      </c>
      <c r="C2" s="2" t="s">
        <v>21</v>
      </c>
      <c r="D2" s="2" t="s">
        <v>30</v>
      </c>
    </row>
    <row r="3" spans="1:8" x14ac:dyDescent="0.3">
      <c r="A3" s="2" t="str">
        <f>B$3&amp;"-"&amp;C3</f>
        <v>Conservador-PAPEL</v>
      </c>
      <c r="B3" s="2" t="s">
        <v>17</v>
      </c>
      <c r="C3" s="2" t="s">
        <v>24</v>
      </c>
      <c r="D3" s="58">
        <v>0.3</v>
      </c>
    </row>
    <row r="4" spans="1:8" x14ac:dyDescent="0.3">
      <c r="A4" s="2" t="str">
        <f t="shared" ref="A4:A8" si="0">B$3&amp;"-"&amp;C4</f>
        <v>Conservador-TIJOLOS</v>
      </c>
      <c r="B4" s="2" t="s">
        <v>17</v>
      </c>
      <c r="C4" s="2" t="s">
        <v>25</v>
      </c>
      <c r="D4" s="58">
        <v>0.5</v>
      </c>
      <c r="H4" t="s">
        <v>30</v>
      </c>
    </row>
    <row r="5" spans="1:8" x14ac:dyDescent="0.3">
      <c r="A5" s="2" t="str">
        <f t="shared" si="0"/>
        <v>Conservador-HÍBRIDOS</v>
      </c>
      <c r="B5" s="2" t="s">
        <v>17</v>
      </c>
      <c r="C5" s="2" t="s">
        <v>29</v>
      </c>
      <c r="D5" s="58">
        <v>0.1</v>
      </c>
      <c r="G5" s="63" t="s">
        <v>33</v>
      </c>
      <c r="H5" s="64">
        <f>VLOOKUP(G5,$A$2:$D$20,4,FALSE)</f>
        <v>0.35</v>
      </c>
    </row>
    <row r="6" spans="1:8" x14ac:dyDescent="0.3">
      <c r="A6" s="2" t="str">
        <f t="shared" si="0"/>
        <v>Conservador-FOFs</v>
      </c>
      <c r="B6" s="2" t="s">
        <v>17</v>
      </c>
      <c r="C6" s="2" t="s">
        <v>26</v>
      </c>
      <c r="D6" s="58">
        <v>0.1</v>
      </c>
    </row>
    <row r="7" spans="1:8" x14ac:dyDescent="0.3">
      <c r="A7" s="2" t="str">
        <f t="shared" si="0"/>
        <v>Conservador-DESENVOLVIMENTO</v>
      </c>
      <c r="B7" s="2" t="s">
        <v>17</v>
      </c>
      <c r="C7" s="2" t="s">
        <v>27</v>
      </c>
      <c r="D7" s="58">
        <v>0</v>
      </c>
    </row>
    <row r="8" spans="1:8" ht="15" thickBot="1" x14ac:dyDescent="0.35">
      <c r="A8" s="2" t="str">
        <f t="shared" si="0"/>
        <v>Conservador-HOTELARIAS</v>
      </c>
      <c r="B8" s="2" t="s">
        <v>17</v>
      </c>
      <c r="C8" s="61" t="s">
        <v>28</v>
      </c>
      <c r="D8" s="59">
        <v>0</v>
      </c>
      <c r="E8" s="57"/>
    </row>
    <row r="9" spans="1:8" ht="15" thickTop="1" x14ac:dyDescent="0.3">
      <c r="A9" s="2" t="str">
        <f>B$9&amp;"-"&amp;C9</f>
        <v>Moderado-PAPEL</v>
      </c>
      <c r="B9" s="2" t="s">
        <v>18</v>
      </c>
      <c r="C9" s="2" t="s">
        <v>24</v>
      </c>
      <c r="D9" s="58">
        <v>0.32</v>
      </c>
      <c r="E9" s="57"/>
    </row>
    <row r="10" spans="1:8" x14ac:dyDescent="0.3">
      <c r="A10" s="2" t="str">
        <f t="shared" ref="A10:A14" si="1">B$9&amp;"-"&amp;C10</f>
        <v>Moderado-TIJOLOS</v>
      </c>
      <c r="B10" s="2" t="s">
        <v>18</v>
      </c>
      <c r="C10" s="2" t="s">
        <v>25</v>
      </c>
      <c r="D10" s="58">
        <v>0.35</v>
      </c>
    </row>
    <row r="11" spans="1:8" x14ac:dyDescent="0.3">
      <c r="A11" s="2" t="str">
        <f t="shared" si="1"/>
        <v>Moderado-HÍBRIDOS</v>
      </c>
      <c r="B11" s="2" t="s">
        <v>18</v>
      </c>
      <c r="C11" s="2" t="s">
        <v>29</v>
      </c>
      <c r="D11" s="58">
        <v>0.08</v>
      </c>
    </row>
    <row r="12" spans="1:8" x14ac:dyDescent="0.3">
      <c r="A12" s="2" t="str">
        <f t="shared" si="1"/>
        <v>Moderado-FOFs</v>
      </c>
      <c r="B12" s="2" t="s">
        <v>18</v>
      </c>
      <c r="C12" s="2" t="s">
        <v>26</v>
      </c>
      <c r="D12" s="58">
        <v>0.05</v>
      </c>
    </row>
    <row r="13" spans="1:8" x14ac:dyDescent="0.3">
      <c r="A13" s="2" t="str">
        <f t="shared" si="1"/>
        <v>Moderado-DESENVOLVIMENTO</v>
      </c>
      <c r="B13" s="2" t="s">
        <v>18</v>
      </c>
      <c r="C13" s="2" t="s">
        <v>27</v>
      </c>
      <c r="D13" s="58">
        <v>0.1</v>
      </c>
    </row>
    <row r="14" spans="1:8" ht="15" thickBot="1" x14ac:dyDescent="0.35">
      <c r="A14" s="61" t="str">
        <f t="shared" si="1"/>
        <v>Moderado-HOTELARIAS</v>
      </c>
      <c r="B14" s="2" t="s">
        <v>18</v>
      </c>
      <c r="C14" s="61" t="s">
        <v>28</v>
      </c>
      <c r="D14" s="59">
        <v>0.1</v>
      </c>
    </row>
    <row r="15" spans="1:8" ht="15" thickTop="1" x14ac:dyDescent="0.3">
      <c r="A15" s="2" t="str">
        <f>$B$15&amp;"-"&amp;C15</f>
        <v>Agressivo-PAPEL</v>
      </c>
      <c r="B15" s="62" t="s">
        <v>32</v>
      </c>
      <c r="C15" s="62" t="s">
        <v>24</v>
      </c>
      <c r="D15" s="60">
        <v>0.5</v>
      </c>
      <c r="E15" s="57"/>
    </row>
    <row r="16" spans="1:8" x14ac:dyDescent="0.3">
      <c r="A16" s="2" t="str">
        <f t="shared" ref="A16:A20" si="2">$B$15&amp;"-"&amp;C16</f>
        <v>Agressivo-TIJOLOS</v>
      </c>
      <c r="B16" s="62" t="s">
        <v>32</v>
      </c>
      <c r="C16" s="2" t="s">
        <v>25</v>
      </c>
      <c r="D16" s="58">
        <v>0.1</v>
      </c>
    </row>
    <row r="17" spans="1:4" x14ac:dyDescent="0.3">
      <c r="A17" s="2" t="str">
        <f t="shared" si="2"/>
        <v>Agressivo-HÍBRIDOS</v>
      </c>
      <c r="B17" s="62" t="s">
        <v>32</v>
      </c>
      <c r="C17" s="2" t="s">
        <v>29</v>
      </c>
      <c r="D17" s="58">
        <v>0.05</v>
      </c>
    </row>
    <row r="18" spans="1:4" x14ac:dyDescent="0.3">
      <c r="A18" s="2" t="str">
        <f t="shared" si="2"/>
        <v>Agressivo-FOFs</v>
      </c>
      <c r="B18" s="62" t="s">
        <v>32</v>
      </c>
      <c r="C18" s="2" t="s">
        <v>26</v>
      </c>
      <c r="D18" s="58">
        <v>0.05</v>
      </c>
    </row>
    <row r="19" spans="1:4" x14ac:dyDescent="0.3">
      <c r="A19" s="2" t="str">
        <f t="shared" si="2"/>
        <v>Agressivo-DESENVOLVIMENTO</v>
      </c>
      <c r="B19" s="62" t="s">
        <v>32</v>
      </c>
      <c r="C19" s="2" t="s">
        <v>27</v>
      </c>
      <c r="D19" s="58">
        <v>0.2</v>
      </c>
    </row>
    <row r="20" spans="1:4" x14ac:dyDescent="0.3">
      <c r="A20" s="2" t="str">
        <f t="shared" si="2"/>
        <v>Agressivo-HOTELARIAS</v>
      </c>
      <c r="B20" s="62" t="s">
        <v>32</v>
      </c>
      <c r="C20" s="2" t="s">
        <v>28</v>
      </c>
      <c r="D20" s="58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Plan1</vt:lpstr>
      <vt:lpstr>Plan2</vt:lpstr>
      <vt:lpstr>aporte</vt:lpstr>
      <vt:lpstr>patrimonio</vt:lpstr>
      <vt:lpstr>qtde_anos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bruna.garcia</dc:creator>
  <cp:lastModifiedBy>bruna.garcia</cp:lastModifiedBy>
  <dcterms:created xsi:type="dcterms:W3CDTF">2026-10-14T19:54:44Z</dcterms:created>
  <dcterms:modified xsi:type="dcterms:W3CDTF">2026-10-18T00:06:53Z</dcterms:modified>
</cp:coreProperties>
</file>